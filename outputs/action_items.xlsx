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Item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9C0006"/>
      <sz val="9"/>
    </font>
    <font>
      <name val="Arial"/>
      <b val="1"/>
      <color rgb="007D6608"/>
      <sz val="9"/>
    </font>
    <font>
      <name val="Arial"/>
      <b val="1"/>
      <color rgb="008B92A5"/>
      <sz val="9"/>
    </font>
    <font>
      <name val="Arial"/>
      <b val="1"/>
      <color rgb="00833C00"/>
      <sz val="9"/>
    </font>
    <font>
      <name val="Arial"/>
      <b val="1"/>
      <color rgb="00595959"/>
      <sz val="9"/>
    </font>
    <font>
      <name val="Arial"/>
      <b val="1"/>
      <color rgb="001F4E79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7D6608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833C00"/>
      <sz val="10"/>
    </font>
    <font>
      <name val="Arial"/>
      <b val="1"/>
      <color rgb="00595959"/>
      <sz val="10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A1D27"/>
      </patternFill>
    </fill>
    <fill>
      <patternFill patternType="solid">
        <fgColor rgb="00F8F8FC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9" fillId="0" borderId="0" pivotButton="0" quotePrefix="0" xfId="0"/>
    <xf numFmtId="0" fontId="3" fillId="4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44" customWidth="1" min="4" max="4"/>
    <col width="10" customWidth="1" min="5" max="5"/>
    <col width="20" customWidth="1" min="6" max="6"/>
    <col width="12" customWidth="1" min="7" max="7"/>
    <col width="13" customWidth="1" min="8" max="8"/>
    <col width="32" customWidth="1" min="9" max="9"/>
  </cols>
  <sheetData>
    <row r="1" ht="30" customHeight="1">
      <c r="A1" s="1" t="inlineStr">
        <is>
          <t>PO Requisition Agent — Action Items</t>
        </is>
      </c>
    </row>
    <row r="2" ht="20" customHeight="1">
      <c r="A2" s="2" t="inlineStr">
        <is>
          <t>#</t>
        </is>
      </c>
      <c r="B2" s="2" t="inlineStr">
        <is>
          <t>Category</t>
        </is>
      </c>
      <c r="C2" s="2" t="inlineStr">
        <is>
          <t>Action Item</t>
        </is>
      </c>
      <c r="D2" s="2" t="inlineStr">
        <is>
          <t>Details</t>
        </is>
      </c>
      <c r="E2" s="2" t="inlineStr">
        <is>
          <t>Priority</t>
        </is>
      </c>
      <c r="F2" s="2" t="inlineStr">
        <is>
          <t>Owner</t>
        </is>
      </c>
      <c r="G2" s="2" t="inlineStr">
        <is>
          <t>Due Date</t>
        </is>
      </c>
      <c r="H2" s="2" t="inlineStr">
        <is>
          <t>Status</t>
        </is>
      </c>
      <c r="I2" s="2" t="inlineStr">
        <is>
          <t>Source</t>
        </is>
      </c>
    </row>
    <row r="3" ht="46" customHeight="1">
      <c r="A3" s="3" t="n">
        <v>1</v>
      </c>
      <c r="B3" s="4" t="inlineStr">
        <is>
          <t>Data Quality</t>
        </is>
      </c>
      <c r="C3" s="4" t="inlineStr">
        <is>
          <t>Fix upstream ERP export — Tax Amount column</t>
        </is>
      </c>
      <c r="D3" s="4" t="inlineStr">
        <is>
          <t>Source system exports Total Amount as post-tax but does not populate Tax Amount ($). Agent validation rule now handles this (see validator.py), but root fix belongs in the ERP export query/template.</t>
        </is>
      </c>
      <c r="E3" s="5" t="inlineStr">
        <is>
          <t>Critical</t>
        </is>
      </c>
      <c r="F3" s="4" t="inlineStr">
        <is>
          <t>Finance Ops / ERP Admin</t>
        </is>
      </c>
      <c r="G3" s="6" t="inlineStr">
        <is>
          <t>2026-06-15</t>
        </is>
      </c>
      <c r="H3" s="7" t="inlineStr">
        <is>
          <t>Open</t>
        </is>
      </c>
      <c r="I3" s="4" t="inlineStr">
        <is>
          <t>reports/validation_failure_analysis.md</t>
        </is>
      </c>
    </row>
    <row r="4" ht="46" customHeight="1">
      <c r="A4" s="8" t="n">
        <v>2</v>
      </c>
      <c r="B4" s="9" t="inlineStr">
        <is>
          <t>Data Quality</t>
        </is>
      </c>
      <c r="C4" s="9" t="inlineStr">
        <is>
          <t>Re-run agent after ERP export fix and confirm 0 errors</t>
        </is>
      </c>
      <c r="D4" s="9" t="inlineStr">
        <is>
          <t>Once Tax Amount ($) is correctly exported, re-run against a fresh dataset and verify the 75% failure rate drops to 0.</t>
        </is>
      </c>
      <c r="E4" s="10" t="inlineStr">
        <is>
          <t>High</t>
        </is>
      </c>
      <c r="F4" s="9" t="inlineStr">
        <is>
          <t>Finance Ops</t>
        </is>
      </c>
      <c r="G4" s="11" t="inlineStr">
        <is>
          <t>2026-06-20</t>
        </is>
      </c>
      <c r="H4" s="7" t="inlineStr">
        <is>
          <t>Open</t>
        </is>
      </c>
      <c r="I4" s="9" t="inlineStr">
        <is>
          <t>reports/run_summary_20260529.md</t>
        </is>
      </c>
    </row>
    <row r="5" ht="46" customHeight="1">
      <c r="A5" s="3" t="n">
        <v>3</v>
      </c>
      <c r="B5" s="4" t="inlineStr">
        <is>
          <t>Approval Queue</t>
        </is>
      </c>
      <c r="C5" s="4" t="inlineStr">
        <is>
          <t>VP review — 33 POs pending sign-off ($2.9M spend)</t>
        </is>
      </c>
      <c r="D5" s="4" t="inlineStr">
        <is>
          <t>33 POs routed to VP Approval tier are awaiting review. Largest: PO-2024-0150 ($190,987), PO-2025-0007 ($189,729), PO-2024-0136 ($186,326).</t>
        </is>
      </c>
      <c r="E5" s="5" t="inlineStr">
        <is>
          <t>Critical</t>
        </is>
      </c>
      <c r="F5" s="4" t="inlineStr">
        <is>
          <t>VP / Procurement Lead</t>
        </is>
      </c>
      <c r="G5" s="6" t="inlineStr">
        <is>
          <t>2026-06-05</t>
        </is>
      </c>
      <c r="H5" s="7" t="inlineStr">
        <is>
          <t>Open</t>
        </is>
      </c>
      <c r="I5" s="4" t="inlineStr">
        <is>
          <t>outputs/PO_Processed_20260529_224746.xlsx — Approval Queue sheet</t>
        </is>
      </c>
    </row>
    <row r="6" ht="46" customHeight="1">
      <c r="A6" s="8" t="n">
        <v>4</v>
      </c>
      <c r="B6" s="9" t="inlineStr">
        <is>
          <t>Approval Queue</t>
        </is>
      </c>
      <c r="C6" s="9" t="inlineStr">
        <is>
          <t>Manager review — 14 POs pending sign-off ($200K spend)</t>
        </is>
      </c>
      <c r="D6" s="9" t="inlineStr">
        <is>
          <t>14 POs in the Manager Approval tier ($5K–$25K). Should be cleared before VP queue.</t>
        </is>
      </c>
      <c r="E6" s="10" t="inlineStr">
        <is>
          <t>High</t>
        </is>
      </c>
      <c r="F6" s="9" t="inlineStr">
        <is>
          <t>Department Managers</t>
        </is>
      </c>
      <c r="G6" s="11" t="inlineStr">
        <is>
          <t>2026-06-05</t>
        </is>
      </c>
      <c r="H6" s="7" t="inlineStr">
        <is>
          <t>Open</t>
        </is>
      </c>
      <c r="I6" s="9" t="inlineStr">
        <is>
          <t>outputs/PO_Processed_20260529_224746.xlsx — Approval Queue sheet</t>
        </is>
      </c>
    </row>
    <row r="7" ht="46" customHeight="1">
      <c r="A7" s="3" t="n">
        <v>5</v>
      </c>
      <c r="B7" s="4" t="inlineStr">
        <is>
          <t>Vendor Risk</t>
        </is>
      </c>
      <c r="C7" s="4" t="inlineStr">
        <is>
          <t>Investigate SecureNet Systems vendor concentration</t>
        </is>
      </c>
      <c r="D7" s="4" t="inlineStr">
        <is>
          <t>SecureNet Systems represents 20.1% of run spend ($626,438 of $3.1M), marginally above the 20% concentration threshold. Review IT Hardware sourcing strategy and qualify at least one alternative supplier.</t>
        </is>
      </c>
      <c r="E7" s="10" t="inlineStr">
        <is>
          <t>High</t>
        </is>
      </c>
      <c r="F7" s="4" t="inlineStr">
        <is>
          <t>Procurement / IT Lead</t>
        </is>
      </c>
      <c r="G7" s="6" t="inlineStr">
        <is>
          <t>2026-06-30</t>
        </is>
      </c>
      <c r="H7" s="7" t="inlineStr">
        <is>
          <t>Open</t>
        </is>
      </c>
      <c r="I7" s="4" t="inlineStr">
        <is>
          <t>reports/vendor_concentration_watch.md</t>
        </is>
      </c>
    </row>
    <row r="8" ht="46" customHeight="1">
      <c r="A8" s="8" t="n">
        <v>6</v>
      </c>
      <c r="B8" s="9" t="inlineStr">
        <is>
          <t>Vendor Risk</t>
        </is>
      </c>
      <c r="C8" s="9" t="inlineStr">
        <is>
          <t>Verify preferred-supplier status for all vendors in run</t>
        </is>
      </c>
      <c r="D8" s="9" t="inlineStr">
        <is>
          <t>Cross-reference vendor_allowlist.csv against POs in the run. Flag any Vendor IDs not on the approved list.</t>
        </is>
      </c>
      <c r="E8" s="7" t="inlineStr">
        <is>
          <t>Medium</t>
        </is>
      </c>
      <c r="F8" s="9" t="inlineStr">
        <is>
          <t>Procurement</t>
        </is>
      </c>
      <c r="G8" s="11" t="inlineStr">
        <is>
          <t>2026-06-30</t>
        </is>
      </c>
      <c r="H8" s="7" t="inlineStr">
        <is>
          <t>Open</t>
        </is>
      </c>
      <c r="I8" s="9" t="inlineStr">
        <is>
          <t>config/vendor_allowlist.csv</t>
        </is>
      </c>
    </row>
    <row r="9" ht="46" customHeight="1">
      <c r="A9" s="3" t="n">
        <v>7</v>
      </c>
      <c r="B9" s="4" t="inlineStr">
        <is>
          <t>Stale POs</t>
        </is>
      </c>
      <c r="C9" s="4" t="inlineStr">
        <is>
          <t>Triage 62 POs with past-due Needed By dates</t>
        </is>
      </c>
      <c r="D9" s="4" t="inlineStr">
        <is>
          <t>62 POs have a Needed By Date in the past. Oldest: PO-2025-0183 (due 2024-02-11). Determine: retroactive booking, stale requisition, or legitimate delay.</t>
        </is>
      </c>
      <c r="E9" s="10" t="inlineStr">
        <is>
          <t>High</t>
        </is>
      </c>
      <c r="F9" s="4" t="inlineStr">
        <is>
          <t>Finance Ops / Dept Owners</t>
        </is>
      </c>
      <c r="G9" s="6" t="inlineStr">
        <is>
          <t>2026-06-10</t>
        </is>
      </c>
      <c r="H9" s="7" t="inlineStr">
        <is>
          <t>Open</t>
        </is>
      </c>
      <c r="I9" s="4" t="inlineStr">
        <is>
          <t>outputs/agent_log_20260529_224746.txt — Past-due section</t>
        </is>
      </c>
    </row>
    <row r="10" ht="46" customHeight="1">
      <c r="A10" s="8" t="n">
        <v>8</v>
      </c>
      <c r="B10" s="9" t="inlineStr">
        <is>
          <t>Stale POs</t>
        </is>
      </c>
      <c r="C10" s="9" t="inlineStr">
        <is>
          <t>Cancel or close confirmed stale requisitions</t>
        </is>
      </c>
      <c r="D10" s="9" t="inlineStr">
        <is>
          <t>After triage (#7), cancel POs confirmed as stale to keep the register clean. Update Status to 'Closed' in the source system.</t>
        </is>
      </c>
      <c r="E10" s="7" t="inlineStr">
        <is>
          <t>Medium</t>
        </is>
      </c>
      <c r="F10" s="9" t="inlineStr">
        <is>
          <t>Finance Ops</t>
        </is>
      </c>
      <c r="G10" s="11" t="inlineStr">
        <is>
          <t>2026-06-20</t>
        </is>
      </c>
      <c r="H10" s="7" t="inlineStr">
        <is>
          <t>Open</t>
        </is>
      </c>
      <c r="I10" s="9" t="inlineStr">
        <is>
          <t>Dependent on #7</t>
        </is>
      </c>
    </row>
    <row r="11" ht="46" customHeight="1">
      <c r="A11" s="3" t="n">
        <v>9</v>
      </c>
      <c r="B11" s="4" t="inlineStr">
        <is>
          <t>Compliance</t>
        </is>
      </c>
      <c r="C11" s="4" t="inlineStr">
        <is>
          <t>Audit high-volume requesters for split-order activity</t>
        </is>
      </c>
      <c r="D11" s="4" t="inlineStr">
        <is>
          <t>10 requesters exceeded the 10-PO threshold. Top: Monica Shaw (24), Patricia Dunn (23), Robert Nash (23). Spot-check for PO splitting to avoid approval thresholds.</t>
        </is>
      </c>
      <c r="E11" s="10" t="inlineStr">
        <is>
          <t>High</t>
        </is>
      </c>
      <c r="F11" s="4" t="inlineStr">
        <is>
          <t>Internal Audit / Finance</t>
        </is>
      </c>
      <c r="G11" s="6" t="inlineStr">
        <is>
          <t>2026-06-30</t>
        </is>
      </c>
      <c r="H11" s="7" t="inlineStr">
        <is>
          <t>Open</t>
        </is>
      </c>
      <c r="I11" s="4" t="inlineStr">
        <is>
          <t>outputs/agent_log_20260529_224746.txt — Anomalies section</t>
        </is>
      </c>
    </row>
    <row r="12" ht="46" customHeight="1">
      <c r="A12" s="8" t="n">
        <v>10</v>
      </c>
      <c r="B12" s="9" t="inlineStr">
        <is>
          <t>Compliance</t>
        </is>
      </c>
      <c r="C12" s="9" t="inlineStr">
        <is>
          <t>Review high-value POs &gt; $100K (10 flagged)</t>
        </is>
      </c>
      <c r="D12" s="9" t="inlineStr">
        <is>
          <t>10 POs exceed $100K — all correctly routed to VP tier. Confirm each has a valid business justification on file before VP sign-off.</t>
        </is>
      </c>
      <c r="E12" s="10" t="inlineStr">
        <is>
          <t>High</t>
        </is>
      </c>
      <c r="F12" s="9" t="inlineStr">
        <is>
          <t>VP / Finance</t>
        </is>
      </c>
      <c r="G12" s="11" t="inlineStr">
        <is>
          <t>2026-06-05</t>
        </is>
      </c>
      <c r="H12" s="7" t="inlineStr">
        <is>
          <t>Open</t>
        </is>
      </c>
      <c r="I12" s="9" t="inlineStr">
        <is>
          <t>outputs/agent_log_20260529_224746.txt — Anomalies section</t>
        </is>
      </c>
    </row>
    <row r="13" ht="46" customHeight="1">
      <c r="A13" s="3" t="n">
        <v>11</v>
      </c>
      <c r="B13" s="4" t="inlineStr">
        <is>
          <t>Agent / Code</t>
        </is>
      </c>
      <c r="C13" s="4" t="inlineStr">
        <is>
          <t>Update CLAUDE.md validation rule to reflect tax-aware formula</t>
        </is>
      </c>
      <c r="D13" s="4" t="inlineStr">
        <is>
          <t>The STEP 2 validation spec still documents the old rule (Total = Qty × Unit Price). Update to: Total Amount ≈ (Qty × Unit Price) + Tax Amount.</t>
        </is>
      </c>
      <c r="E13" s="7" t="inlineStr">
        <is>
          <t>Medium</t>
        </is>
      </c>
      <c r="F13" s="4" t="inlineStr">
        <is>
          <t>Engineering</t>
        </is>
      </c>
      <c r="G13" s="6" t="inlineStr">
        <is>
          <t>2026-06-07</t>
        </is>
      </c>
      <c r="H13" s="7" t="inlineStr">
        <is>
          <t>Open</t>
        </is>
      </c>
      <c r="I13" s="4" t="inlineStr">
        <is>
          <t>CLAUDE.md — STEP 2 / Business Rules Reference</t>
        </is>
      </c>
    </row>
    <row r="14" ht="46" customHeight="1">
      <c r="A14" s="8" t="n">
        <v>12</v>
      </c>
      <c r="B14" s="9" t="inlineStr">
        <is>
          <t>Agent / Code</t>
        </is>
      </c>
      <c r="C14" s="9" t="inlineStr">
        <is>
          <t>Bump agent version to 1.1.0 after validation fix</t>
        </is>
      </c>
      <c r="D14" s="9" t="inlineStr">
        <is>
          <t>validator.py was patched (tax-aware check). Update src/version.py from 1.0.0 → 1.1.0 and add a CHANGELOG entry.</t>
        </is>
      </c>
      <c r="E14" s="12" t="inlineStr">
        <is>
          <t>Low</t>
        </is>
      </c>
      <c r="F14" s="9" t="inlineStr">
        <is>
          <t>Engineering</t>
        </is>
      </c>
      <c r="G14" s="11" t="inlineStr">
        <is>
          <t>2026-06-07</t>
        </is>
      </c>
      <c r="H14" s="7" t="inlineStr">
        <is>
          <t>Open</t>
        </is>
      </c>
      <c r="I14" s="9" t="inlineStr">
        <is>
          <t>src/version.py, CHANGELOG.md</t>
        </is>
      </c>
    </row>
    <row r="15" ht="46" customHeight="1">
      <c r="A15" s="3" t="n">
        <v>13</v>
      </c>
      <c r="B15" s="4" t="inlineStr">
        <is>
          <t>Agent / Code</t>
        </is>
      </c>
      <c r="C15" s="4" t="inlineStr">
        <is>
          <t>Add fixture_edge_cases test for tax-inclusive totals</t>
        </is>
      </c>
      <c r="D15" s="4" t="inlineStr">
        <is>
          <t>tests/fixtures/fixture_edge_cases.xlsx does not yet cover the tax-included total scenario. Add a row with Tax Amount ($) &gt; 0 to confirm the new rule passes.</t>
        </is>
      </c>
      <c r="E15" s="7" t="inlineStr">
        <is>
          <t>Medium</t>
        </is>
      </c>
      <c r="F15" s="4" t="inlineStr">
        <is>
          <t>Engineering</t>
        </is>
      </c>
      <c r="G15" s="6" t="inlineStr">
        <is>
          <t>2026-06-14</t>
        </is>
      </c>
      <c r="H15" s="7" t="inlineStr">
        <is>
          <t>Open</t>
        </is>
      </c>
      <c r="I15" s="4" t="inlineStr">
        <is>
          <t>tests/fixtures/fixture_edge_cases.xlsx</t>
        </is>
      </c>
    </row>
    <row r="16" ht="46" customHeight="1">
      <c r="A16" s="8" t="n">
        <v>14</v>
      </c>
      <c r="B16" s="9" t="inlineStr">
        <is>
          <t>Documentation</t>
        </is>
      </c>
      <c r="C16" s="9" t="inlineStr">
        <is>
          <t>Write docs/RUNBOOK.md</t>
        </is>
      </c>
      <c r="D16" s="9" t="inlineStr">
        <is>
          <t>Step-by-step ops guide: how to drop a new file, what to do on error, how to re-run, how to read the outputs. Recommended in initial repo audit.</t>
        </is>
      </c>
      <c r="E16" s="7" t="inlineStr">
        <is>
          <t>Medium</t>
        </is>
      </c>
      <c r="F16" s="9" t="inlineStr">
        <is>
          <t>Engineering / Finance Ops</t>
        </is>
      </c>
      <c r="G16" s="11" t="inlineStr">
        <is>
          <t>2026-06-21</t>
        </is>
      </c>
      <c r="H16" s="7" t="inlineStr">
        <is>
          <t>Open</t>
        </is>
      </c>
      <c r="I16" s="9" t="inlineStr">
        <is>
          <t>docs/ folder</t>
        </is>
      </c>
    </row>
    <row r="17" ht="46" customHeight="1">
      <c r="A17" s="3" t="n">
        <v>15</v>
      </c>
      <c r="B17" s="4" t="inlineStr">
        <is>
          <t>Documentation</t>
        </is>
      </c>
      <c r="C17" s="4" t="inlineStr">
        <is>
          <t>Write docs/FIELD_GLOSSARY.md</t>
        </is>
      </c>
      <c r="D17" s="4" t="inlineStr">
        <is>
          <t>Define every input column: type, format, business meaning, and validation rule. Critical for new data providers.</t>
        </is>
      </c>
      <c r="E17" s="12" t="inlineStr">
        <is>
          <t>Low</t>
        </is>
      </c>
      <c r="F17" s="4" t="inlineStr">
        <is>
          <t>Engineering</t>
        </is>
      </c>
      <c r="G17" s="6" t="inlineStr">
        <is>
          <t>2026-06-28</t>
        </is>
      </c>
      <c r="H17" s="7" t="inlineStr">
        <is>
          <t>Open</t>
        </is>
      </c>
      <c r="I17" s="4" t="inlineStr">
        <is>
          <t>schemas/po_input_schema.json</t>
        </is>
      </c>
    </row>
    <row r="18" ht="46" customHeight="1">
      <c r="A18" s="8" t="n">
        <v>16</v>
      </c>
      <c r="B18" s="9" t="inlineStr">
        <is>
          <t>CI / DevOps</t>
        </is>
      </c>
      <c r="C18" s="9" t="inlineStr">
        <is>
          <t>Confirm CI pipeline passes on GitHub Actions</t>
        </is>
      </c>
      <c r="D18" s="9" t="inlineStr">
        <is>
          <t>ci.yml was pushed but not yet verified green. Check Actions tab after next push and fix any environment issues (Python path, openpyxl version).</t>
        </is>
      </c>
      <c r="E18" s="10" t="inlineStr">
        <is>
          <t>High</t>
        </is>
      </c>
      <c r="F18" s="9" t="inlineStr">
        <is>
          <t>Engineering</t>
        </is>
      </c>
      <c r="G18" s="11" t="inlineStr">
        <is>
          <t>2026-06-07</t>
        </is>
      </c>
      <c r="H18" s="13" t="inlineStr">
        <is>
          <t>In Progress</t>
        </is>
      </c>
      <c r="I18" s="9" t="inlineStr">
        <is>
          <t>.github/workflows/ci.yml</t>
        </is>
      </c>
    </row>
    <row r="19" ht="46" customHeight="1">
      <c r="A19" s="3" t="n">
        <v>17</v>
      </c>
      <c r="B19" s="4" t="inlineStr">
        <is>
          <t>CI / DevOps</t>
        </is>
      </c>
      <c r="C19" s="4" t="inlineStr">
        <is>
          <t>Add test coverage for validator.py tax-aware rule</t>
        </is>
      </c>
      <c r="D19" s="4" t="inlineStr">
        <is>
          <t>test_validator.py should have at least one test for the updated total amount check (with and without Tax Amount). Ensures the fix doesn't regress.</t>
        </is>
      </c>
      <c r="E19" s="7" t="inlineStr">
        <is>
          <t>Medium</t>
        </is>
      </c>
      <c r="F19" s="4" t="inlineStr">
        <is>
          <t>Engineering</t>
        </is>
      </c>
      <c r="G19" s="6" t="inlineStr">
        <is>
          <t>2026-06-14</t>
        </is>
      </c>
      <c r="H19" s="7" t="inlineStr">
        <is>
          <t>Open</t>
        </is>
      </c>
      <c r="I19" s="4" t="inlineStr">
        <is>
          <t>tests/test_validator.py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8" customWidth="1" min="5" max="5"/>
  </cols>
  <sheetData>
    <row r="1" ht="28" customHeight="1">
      <c r="A1" s="14" t="inlineStr">
        <is>
          <t>Action Items Summary</t>
        </is>
      </c>
    </row>
    <row r="3">
      <c r="A3" s="15" t="inlineStr">
        <is>
          <t>Status</t>
        </is>
      </c>
      <c r="B3" s="15" t="inlineStr">
        <is>
          <t>Count</t>
        </is>
      </c>
      <c r="D3" s="15" t="inlineStr">
        <is>
          <t>Priority</t>
        </is>
      </c>
      <c r="E3" s="15" t="inlineStr">
        <is>
          <t>Count</t>
        </is>
      </c>
    </row>
    <row r="4">
      <c r="A4" s="16" t="inlineStr">
        <is>
          <t>Open</t>
        </is>
      </c>
      <c r="B4" s="17">
        <f>COUNTIF('Action Items'!H:H,A4)</f>
        <v/>
      </c>
      <c r="D4" s="18" t="inlineStr">
        <is>
          <t>Critical</t>
        </is>
      </c>
      <c r="E4" s="17">
        <f>COUNTIF('Action Items'!E:E,D4)</f>
        <v/>
      </c>
    </row>
    <row r="5">
      <c r="A5" s="19" t="inlineStr">
        <is>
          <t>In Progress</t>
        </is>
      </c>
      <c r="B5" s="17">
        <f>COUNTIF('Action Items'!H:H,A5)</f>
        <v/>
      </c>
      <c r="D5" s="20" t="inlineStr">
        <is>
          <t>High</t>
        </is>
      </c>
      <c r="E5" s="17">
        <f>COUNTIF('Action Items'!E:E,D5)</f>
        <v/>
      </c>
    </row>
    <row r="6">
      <c r="A6" s="21" t="inlineStr">
        <is>
          <t>Done</t>
        </is>
      </c>
      <c r="B6" s="17">
        <f>COUNTIF('Action Items'!H:H,A6)</f>
        <v/>
      </c>
      <c r="D6" s="16" t="inlineStr">
        <is>
          <t>Medium</t>
        </is>
      </c>
      <c r="E6" s="17">
        <f>COUNTIF('Action Items'!E:E,D6)</f>
        <v/>
      </c>
    </row>
    <row r="7">
      <c r="A7" s="18" t="inlineStr">
        <is>
          <t>Blocked</t>
        </is>
      </c>
      <c r="B7" s="17">
        <f>COUNTIF('Action Items'!H:H,A7)</f>
        <v/>
      </c>
      <c r="D7" s="22" t="inlineStr">
        <is>
          <t>Low</t>
        </is>
      </c>
      <c r="E7" s="17">
        <f>COUNTIF('Action Items'!E:E,D7)</f>
        <v/>
      </c>
    </row>
    <row r="8">
      <c r="A8" s="23" t="inlineStr">
        <is>
          <t>Total</t>
        </is>
      </c>
      <c r="B8" s="17">
        <f>SUM(B4:B7)</f>
        <v/>
      </c>
      <c r="D8" s="23" t="inlineStr">
        <is>
          <t>Total</t>
        </is>
      </c>
      <c r="E8" s="17">
        <f>SUM(E4:E7)</f>
        <v/>
      </c>
    </row>
    <row r="11">
      <c r="A11" s="15" t="inlineStr">
        <is>
          <t>Category Breakdown</t>
        </is>
      </c>
    </row>
    <row r="12">
      <c r="A12" s="24" t="inlineStr">
        <is>
          <t>Category</t>
        </is>
      </c>
      <c r="B12" s="24" t="inlineStr">
        <is>
          <t>Total Items</t>
        </is>
      </c>
      <c r="C12" s="24" t="inlineStr">
        <is>
          <t>Open</t>
        </is>
      </c>
      <c r="D12" s="24" t="inlineStr">
        <is>
          <t>Done</t>
        </is>
      </c>
    </row>
    <row r="13">
      <c r="A13" s="25" t="inlineStr">
        <is>
          <t>Agent / Code</t>
        </is>
      </c>
      <c r="B13" s="25">
        <f>COUNTIF('Action Items'!B:B,A13)</f>
        <v/>
      </c>
      <c r="C13" s="25">
        <f>COUNTIFS('Action Items'!B:B,A13,'Action Items'!H:H,"Open")</f>
        <v/>
      </c>
      <c r="D13" s="25">
        <f>COUNTIFS('Action Items'!B:B,A13,'Action Items'!H:H,"Done")</f>
        <v/>
      </c>
    </row>
    <row r="14">
      <c r="A14" s="26" t="inlineStr">
        <is>
          <t>Approval Queue</t>
        </is>
      </c>
      <c r="B14" s="26">
        <f>COUNTIF('Action Items'!B:B,A14)</f>
        <v/>
      </c>
      <c r="C14" s="26">
        <f>COUNTIFS('Action Items'!B:B,A14,'Action Items'!H:H,"Open")</f>
        <v/>
      </c>
      <c r="D14" s="26">
        <f>COUNTIFS('Action Items'!B:B,A14,'Action Items'!H:H,"Done")</f>
        <v/>
      </c>
    </row>
    <row r="15">
      <c r="A15" s="25" t="inlineStr">
        <is>
          <t>CI / DevOps</t>
        </is>
      </c>
      <c r="B15" s="25">
        <f>COUNTIF('Action Items'!B:B,A15)</f>
        <v/>
      </c>
      <c r="C15" s="25">
        <f>COUNTIFS('Action Items'!B:B,A15,'Action Items'!H:H,"Open")</f>
        <v/>
      </c>
      <c r="D15" s="25">
        <f>COUNTIFS('Action Items'!B:B,A15,'Action Items'!H:H,"Done")</f>
        <v/>
      </c>
    </row>
    <row r="16">
      <c r="A16" s="26" t="inlineStr">
        <is>
          <t>Compliance</t>
        </is>
      </c>
      <c r="B16" s="26">
        <f>COUNTIF('Action Items'!B:B,A16)</f>
        <v/>
      </c>
      <c r="C16" s="26">
        <f>COUNTIFS('Action Items'!B:B,A16,'Action Items'!H:H,"Open")</f>
        <v/>
      </c>
      <c r="D16" s="26">
        <f>COUNTIFS('Action Items'!B:B,A16,'Action Items'!H:H,"Done")</f>
        <v/>
      </c>
    </row>
    <row r="17">
      <c r="A17" s="25" t="inlineStr">
        <is>
          <t>Data Quality</t>
        </is>
      </c>
      <c r="B17" s="25">
        <f>COUNTIF('Action Items'!B:B,A17)</f>
        <v/>
      </c>
      <c r="C17" s="25">
        <f>COUNTIFS('Action Items'!B:B,A17,'Action Items'!H:H,"Open")</f>
        <v/>
      </c>
      <c r="D17" s="25">
        <f>COUNTIFS('Action Items'!B:B,A17,'Action Items'!H:H,"Done")</f>
        <v/>
      </c>
    </row>
    <row r="18">
      <c r="A18" s="26" t="inlineStr">
        <is>
          <t>Documentation</t>
        </is>
      </c>
      <c r="B18" s="26">
        <f>COUNTIF('Action Items'!B:B,A18)</f>
        <v/>
      </c>
      <c r="C18" s="26">
        <f>COUNTIFS('Action Items'!B:B,A18,'Action Items'!H:H,"Open")</f>
        <v/>
      </c>
      <c r="D18" s="26">
        <f>COUNTIFS('Action Items'!B:B,A18,'Action Items'!H:H,"Done")</f>
        <v/>
      </c>
    </row>
    <row r="19">
      <c r="A19" s="25" t="inlineStr">
        <is>
          <t>Stale POs</t>
        </is>
      </c>
      <c r="B19" s="25">
        <f>COUNTIF('Action Items'!B:B,A19)</f>
        <v/>
      </c>
      <c r="C19" s="25">
        <f>COUNTIFS('Action Items'!B:B,A19,'Action Items'!H:H,"Open")</f>
        <v/>
      </c>
      <c r="D19" s="25">
        <f>COUNTIFS('Action Items'!B:B,A19,'Action Items'!H:H,"Done")</f>
        <v/>
      </c>
    </row>
    <row r="20">
      <c r="A20" s="26" t="inlineStr">
        <is>
          <t>Vendor Risk</t>
        </is>
      </c>
      <c r="B20" s="26">
        <f>COUNTIF('Action Items'!B:B,A20)</f>
        <v/>
      </c>
      <c r="C20" s="26">
        <f>COUNTIFS('Action Items'!B:B,A20,'Action Items'!H:H,"Open")</f>
        <v/>
      </c>
      <c r="D20" s="26">
        <f>COUNTIFS('Action Items'!B:B,A20,'Action Items'!H:H,"Done")</f>
        <v/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2026-05-30T03:54:47Z</dcterms:created>
  <dcterms:modified xsi:type="dcterms:W3CDTF">2026-05-30T03:54:47Z</dcterms:modified>
</cp:coreProperties>
</file>